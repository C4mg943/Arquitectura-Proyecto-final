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mag-my.sharepoint.com/personal/camilomonsalveag_unimagdalena_edu_co/Documents/Documentos/GitHub/Arquitectura-Proyecto-final/primer entregable/"/>
    </mc:Choice>
  </mc:AlternateContent>
  <xr:revisionPtr revIDLastSave="1" documentId="8_{5EE0C2C4-C6AD-467B-801C-F2F3A4660202}" xr6:coauthVersionLast="47" xr6:coauthVersionMax="47" xr10:uidLastSave="{ADBB6CB6-CC05-48B4-A25D-8ACDA501F40F}"/>
  <bookViews>
    <workbookView xWindow="-120" yWindow="-120" windowWidth="29040" windowHeight="15720" xr2:uid="{2B997785-B7EF-41F6-9473-F24C8AFAC3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3" i="1"/>
  <c r="J11" i="1"/>
  <c r="J10" i="1"/>
  <c r="J9" i="1"/>
  <c r="J8" i="1"/>
  <c r="J6" i="1"/>
  <c r="J15" i="1" l="1"/>
  <c r="J17" i="1" s="1"/>
  <c r="J19" i="1" s="1"/>
</calcChain>
</file>

<file path=xl/sharedStrings.xml><?xml version="1.0" encoding="utf-8"?>
<sst xmlns="http://schemas.openxmlformats.org/spreadsheetml/2006/main" count="48" uniqueCount="42">
  <si>
    <t>MESES</t>
  </si>
  <si>
    <t>FASES</t>
  </si>
  <si>
    <t>INTEGRANTES</t>
  </si>
  <si>
    <t>CANTIDAD</t>
  </si>
  <si>
    <t>SALARIO MENSUAL</t>
  </si>
  <si>
    <t>DISPONIBILIDAD</t>
  </si>
  <si>
    <t>INICIO</t>
  </si>
  <si>
    <t>ELABORACIÓN</t>
  </si>
  <si>
    <t>CONSTRUCCIÓN</t>
  </si>
  <si>
    <t>DESPLIEGUE</t>
  </si>
  <si>
    <t>TOTAL</t>
  </si>
  <si>
    <t>Arq. Software</t>
  </si>
  <si>
    <t>1 iteración = 10 días</t>
  </si>
  <si>
    <t>IMPREVISTO 10%</t>
  </si>
  <si>
    <t>65 REQ =-</t>
  </si>
  <si>
    <t>Analista req</t>
  </si>
  <si>
    <t>Disenador de BD</t>
  </si>
  <si>
    <t>Tester</t>
  </si>
  <si>
    <t>Dev Front</t>
  </si>
  <si>
    <t>Dev Back</t>
  </si>
  <si>
    <t>PRECIO 1,2</t>
  </si>
  <si>
    <t>SUB TOTAL</t>
  </si>
  <si>
    <t>DURACIÓN: 4</t>
  </si>
  <si>
    <t>FASE DEL RUP</t>
  </si>
  <si>
    <t>FECHAS</t>
  </si>
  <si>
    <t>DURACION</t>
  </si>
  <si>
    <t>ACTIVIDADES</t>
  </si>
  <si>
    <t>ROLES</t>
  </si>
  <si>
    <t>ELABORACION</t>
  </si>
  <si>
    <t>CONSTRUCCON</t>
  </si>
  <si>
    <t>2 iteraciones = 20 dias</t>
  </si>
  <si>
    <t>4 iteraciones = 40 dias</t>
  </si>
  <si>
    <t>11-Marzo a 31-Marzo</t>
  </si>
  <si>
    <t>1 abril - 11 mayo</t>
  </si>
  <si>
    <t>12 de mayo al 22 de junio</t>
  </si>
  <si>
    <t>23 de junio - 13 Julio</t>
  </si>
  <si>
    <t>Identificación del problema   Identificación de stakeholders   Definición de requisitos iniciales Definición del alcance del sistema Selección de tecnologías Planificación inicial del proyecto</t>
  </si>
  <si>
    <t>Refinamiento de requisitos funcionales y no funcionales
Definición de atributos de calidad
Diseño de arquitectura (alto nivel)
Modelado de base de datos
Diagramas de casos de uso
Prototipo inicial (mockups)</t>
  </si>
  <si>
    <t>Autenticación de usuarios
Registro de cultivos
Registro de actividades (riego, fertilización, etc.)
Integración inicial con API climática
Alertas climáticas
Recomendaciones agrícolas
Notificaciones
Reportes Modo offline y sincronización Pruebas funcionales</t>
  </si>
  <si>
    <t>Pruebas finales del sistema
Corrección de errores
Validación con usuarios
Documentación final
Entrega del proyecto</t>
  </si>
  <si>
    <t>Arquitecto, Analista de requerimentos, frontend, dev backend</t>
  </si>
  <si>
    <t>Arquitecto,disenador  base de datos, frontend, dev backend,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</si>
</sst>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4" fontId="0" fillId="2" borderId="1" xfId="0" applyNumberFormat="1" applyFill="1" applyBorder="1"/>
    <xf numFmtId="0" fontId="0" fillId="3" borderId="0" xfId="0" applyFill="1"/>
    <xf numFmtId="0" fontId="0" fillId="3" borderId="1" xfId="0" applyFill="1" applyBorder="1"/>
    <xf numFmtId="0" fontId="0" fillId="3" borderId="0" xfId="0" applyFill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6" fontId="0" fillId="3" borderId="1" xfId="0" applyNumberFormat="1" applyFill="1" applyBorder="1"/>
    <xf numFmtId="9" fontId="0" fillId="3" borderId="1" xfId="0" applyNumberFormat="1" applyFill="1" applyBorder="1"/>
    <xf numFmtId="44" fontId="0" fillId="3" borderId="1" xfId="1" applyFont="1" applyFill="1" applyBorder="1"/>
    <xf numFmtId="44" fontId="0" fillId="3" borderId="1" xfId="0" applyNumberFormat="1" applyFill="1" applyBorder="1"/>
    <xf numFmtId="0" fontId="0" fillId="2" borderId="1" xfId="0" applyFill="1" applyBorder="1"/>
    <xf numFmtId="16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9223-59C3-4776-84FC-FD0A2A36741C}">
  <dimension ref="A1:M30"/>
  <sheetViews>
    <sheetView tabSelected="1" topLeftCell="A4" zoomScale="121" workbookViewId="0">
      <selection activeCell="B3" sqref="B3:J19"/>
    </sheetView>
  </sheetViews>
  <sheetFormatPr baseColWidth="10" defaultRowHeight="15" x14ac:dyDescent="0.25"/>
  <cols>
    <col min="2" max="2" width="16.28515625" customWidth="1"/>
    <col min="3" max="3" width="14.85546875" customWidth="1"/>
    <col min="4" max="4" width="23.28515625" customWidth="1"/>
    <col min="5" max="5" width="66.140625" customWidth="1"/>
    <col min="6" max="6" width="20.85546875" customWidth="1"/>
    <col min="7" max="7" width="13.42578125" bestFit="1" customWidth="1"/>
    <col min="8" max="8" width="15.140625" bestFit="1" customWidth="1"/>
    <col min="10" max="10" width="17.7109375" customWidth="1"/>
    <col min="14" max="14" width="51.28515625" bestFit="1" customWidth="1"/>
  </cols>
  <sheetData>
    <row r="1" spans="1:1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3" t="s">
        <v>14</v>
      </c>
      <c r="C3" s="2"/>
      <c r="D3" s="2"/>
      <c r="E3" s="2"/>
      <c r="F3" s="2"/>
      <c r="G3" s="2"/>
      <c r="H3" s="2"/>
      <c r="I3" s="4" t="s">
        <v>22</v>
      </c>
      <c r="J3" s="2" t="s">
        <v>0</v>
      </c>
      <c r="K3" s="2"/>
      <c r="L3" s="2"/>
      <c r="M3" s="2"/>
    </row>
    <row r="4" spans="1:13" x14ac:dyDescent="0.25">
      <c r="A4" s="2"/>
      <c r="B4" s="2"/>
      <c r="C4" s="2"/>
      <c r="D4" s="2"/>
      <c r="E4" s="2"/>
      <c r="F4" s="3" t="s">
        <v>1</v>
      </c>
      <c r="G4" s="2"/>
      <c r="H4" s="2"/>
      <c r="I4" s="2"/>
      <c r="J4" s="2"/>
      <c r="K4" s="2"/>
      <c r="L4" s="2"/>
      <c r="M4" s="2"/>
    </row>
    <row r="5" spans="1:13" x14ac:dyDescent="0.25">
      <c r="A5" s="2"/>
      <c r="B5" s="3" t="s">
        <v>2</v>
      </c>
      <c r="C5" s="3" t="s">
        <v>3</v>
      </c>
      <c r="D5" s="3" t="s">
        <v>4</v>
      </c>
      <c r="E5" s="3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3" t="s">
        <v>10</v>
      </c>
      <c r="K5" s="2"/>
      <c r="L5" s="2"/>
      <c r="M5" s="2"/>
    </row>
    <row r="6" spans="1:13" x14ac:dyDescent="0.25">
      <c r="A6" s="2"/>
      <c r="B6" s="2"/>
      <c r="C6" s="2"/>
      <c r="D6" s="2"/>
      <c r="E6" s="2"/>
      <c r="F6" s="5">
        <v>2</v>
      </c>
      <c r="G6" s="5">
        <v>4</v>
      </c>
      <c r="H6" s="5">
        <v>4</v>
      </c>
      <c r="I6" s="5">
        <v>2</v>
      </c>
      <c r="J6" s="3">
        <f>SUM(F6:I6)</f>
        <v>12</v>
      </c>
      <c r="K6" s="2"/>
      <c r="L6" s="2"/>
      <c r="M6" s="2"/>
    </row>
    <row r="7" spans="1:13" x14ac:dyDescent="0.25">
      <c r="A7" s="2"/>
      <c r="B7" s="2"/>
      <c r="C7" s="2"/>
      <c r="D7" s="2"/>
      <c r="E7" s="2"/>
      <c r="F7" s="6"/>
      <c r="G7" s="6"/>
      <c r="H7" s="6"/>
      <c r="I7" s="6"/>
      <c r="J7" s="2"/>
      <c r="K7" s="2"/>
      <c r="L7" s="2"/>
      <c r="M7" s="2"/>
    </row>
    <row r="8" spans="1:13" x14ac:dyDescent="0.25">
      <c r="A8" s="2"/>
      <c r="B8" s="3" t="s">
        <v>11</v>
      </c>
      <c r="C8" s="5">
        <v>1</v>
      </c>
      <c r="D8" s="7">
        <v>4500000</v>
      </c>
      <c r="E8" s="8">
        <v>0.75</v>
      </c>
      <c r="F8" s="5">
        <v>2</v>
      </c>
      <c r="G8" s="5">
        <v>4</v>
      </c>
      <c r="H8" s="5">
        <v>4</v>
      </c>
      <c r="I8" s="5">
        <v>2</v>
      </c>
      <c r="J8" s="9">
        <f>C8*(D8/3)*E8*(F8+G8+H8+I8)</f>
        <v>13500000</v>
      </c>
      <c r="K8" s="2"/>
      <c r="L8" s="2"/>
      <c r="M8" s="2"/>
    </row>
    <row r="9" spans="1:13" x14ac:dyDescent="0.25">
      <c r="A9" s="2"/>
      <c r="B9" s="3" t="s">
        <v>15</v>
      </c>
      <c r="C9" s="5">
        <v>1</v>
      </c>
      <c r="D9" s="7">
        <v>3000000</v>
      </c>
      <c r="E9" s="8">
        <v>0.5</v>
      </c>
      <c r="F9" s="5">
        <v>2</v>
      </c>
      <c r="G9" s="5">
        <v>0</v>
      </c>
      <c r="H9" s="5">
        <v>0</v>
      </c>
      <c r="I9" s="5">
        <v>0</v>
      </c>
      <c r="J9" s="9">
        <f t="shared" ref="J9" si="0">C9*(D9/3)*E9*(F9+G9+H9+I9)</f>
        <v>1000000</v>
      </c>
      <c r="K9" s="2"/>
      <c r="L9" s="2"/>
      <c r="M9" s="2"/>
    </row>
    <row r="10" spans="1:13" x14ac:dyDescent="0.25">
      <c r="A10" s="2"/>
      <c r="B10" s="3" t="s">
        <v>16</v>
      </c>
      <c r="C10" s="5">
        <v>1</v>
      </c>
      <c r="D10" s="7">
        <v>3000000</v>
      </c>
      <c r="E10" s="8">
        <v>0.75</v>
      </c>
      <c r="F10" s="5">
        <v>0</v>
      </c>
      <c r="G10" s="5">
        <v>4</v>
      </c>
      <c r="H10" s="5">
        <v>4</v>
      </c>
      <c r="I10" s="5">
        <v>0</v>
      </c>
      <c r="J10" s="9">
        <f>C10*(D10/3)*E10*(F10+G10+H10+I10)</f>
        <v>6000000</v>
      </c>
      <c r="K10" s="2"/>
      <c r="L10" s="2"/>
      <c r="M10" s="2"/>
    </row>
    <row r="11" spans="1:13" x14ac:dyDescent="0.25">
      <c r="A11" s="2"/>
      <c r="B11" s="3" t="s">
        <v>18</v>
      </c>
      <c r="C11" s="5">
        <v>1</v>
      </c>
      <c r="D11" s="7">
        <v>2500000</v>
      </c>
      <c r="E11" s="8">
        <v>0.5</v>
      </c>
      <c r="F11" s="5">
        <v>1</v>
      </c>
      <c r="G11" s="5">
        <v>4</v>
      </c>
      <c r="H11" s="5">
        <v>4</v>
      </c>
      <c r="I11" s="5">
        <v>1</v>
      </c>
      <c r="J11" s="9">
        <f>C11*(D11/3)*E11*(F11+G11+H11+I11)</f>
        <v>4166666.666666667</v>
      </c>
      <c r="K11" s="2"/>
      <c r="L11" s="2"/>
      <c r="M11" s="2"/>
    </row>
    <row r="12" spans="1:13" x14ac:dyDescent="0.25">
      <c r="A12" s="2"/>
      <c r="B12" s="3" t="s">
        <v>19</v>
      </c>
      <c r="C12" s="5">
        <v>1</v>
      </c>
      <c r="D12" s="7">
        <v>2500000</v>
      </c>
      <c r="E12" s="8">
        <v>0.5</v>
      </c>
      <c r="F12" s="5">
        <v>2</v>
      </c>
      <c r="G12" s="5">
        <v>4</v>
      </c>
      <c r="H12" s="5">
        <v>4</v>
      </c>
      <c r="I12" s="5">
        <v>2</v>
      </c>
      <c r="J12" s="9">
        <f t="shared" ref="J12:J13" si="1">C12*(D12/3)*E12*(F12+G12+H12+I12)</f>
        <v>5000000</v>
      </c>
      <c r="K12" s="2"/>
      <c r="L12" s="2"/>
      <c r="M12" s="2"/>
    </row>
    <row r="13" spans="1:13" x14ac:dyDescent="0.25">
      <c r="A13" s="2"/>
      <c r="B13" s="3" t="s">
        <v>17</v>
      </c>
      <c r="C13" s="5">
        <v>1</v>
      </c>
      <c r="D13" s="7">
        <v>2100000</v>
      </c>
      <c r="E13" s="8">
        <v>0.6</v>
      </c>
      <c r="F13" s="5">
        <v>0</v>
      </c>
      <c r="G13" s="5">
        <v>2</v>
      </c>
      <c r="H13" s="5">
        <v>4</v>
      </c>
      <c r="I13" s="5">
        <v>2</v>
      </c>
      <c r="J13" s="9">
        <f t="shared" si="1"/>
        <v>3360000</v>
      </c>
      <c r="K13" s="2"/>
      <c r="L13" s="2"/>
      <c r="M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/>
      <c r="D15" s="11" t="s">
        <v>12</v>
      </c>
      <c r="E15" s="2"/>
      <c r="F15" s="2"/>
      <c r="G15" s="2"/>
      <c r="H15" s="2"/>
      <c r="I15" s="3" t="s">
        <v>13</v>
      </c>
      <c r="J15" s="9">
        <f>(J8+J9+J10+J11)*0.1</f>
        <v>2466666.666666667</v>
      </c>
      <c r="K15" s="2"/>
      <c r="L15" s="2"/>
      <c r="M15" s="2"/>
    </row>
    <row r="16" spans="1:1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3" t="s">
        <v>21</v>
      </c>
      <c r="J17" s="10">
        <f>SUM(J8:J16)</f>
        <v>35493333.333333336</v>
      </c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3" t="s">
        <v>20</v>
      </c>
      <c r="J19" s="1">
        <f>J17*1.2</f>
        <v>42592000</v>
      </c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2">
        <v>46092</v>
      </c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3" t="s">
        <v>23</v>
      </c>
      <c r="C23" s="3" t="s">
        <v>24</v>
      </c>
      <c r="D23" s="3" t="s">
        <v>25</v>
      </c>
      <c r="E23" s="3" t="s">
        <v>26</v>
      </c>
      <c r="F23" s="3" t="s">
        <v>27</v>
      </c>
      <c r="G23" s="2"/>
      <c r="H23" s="2"/>
      <c r="I23" s="2"/>
      <c r="J23" s="2"/>
      <c r="K23" s="2"/>
      <c r="L23" s="2"/>
      <c r="M23" s="2"/>
    </row>
    <row r="24" spans="1:13" ht="119.25" customHeight="1" x14ac:dyDescent="0.25">
      <c r="A24" s="13"/>
      <c r="B24" s="14" t="s">
        <v>6</v>
      </c>
      <c r="C24" s="15" t="s">
        <v>32</v>
      </c>
      <c r="D24" s="14" t="s">
        <v>30</v>
      </c>
      <c r="E24" s="16" t="s">
        <v>36</v>
      </c>
      <c r="F24" s="17" t="s">
        <v>40</v>
      </c>
      <c r="G24" s="2"/>
      <c r="H24" s="2"/>
      <c r="I24" s="2"/>
      <c r="J24" s="2"/>
      <c r="K24" s="2"/>
      <c r="L24" s="2"/>
      <c r="M24" s="2"/>
    </row>
    <row r="25" spans="1:13" ht="133.5" customHeight="1" x14ac:dyDescent="0.25">
      <c r="A25" s="2"/>
      <c r="B25" s="14" t="s">
        <v>28</v>
      </c>
      <c r="C25" s="17" t="s">
        <v>33</v>
      </c>
      <c r="D25" s="14" t="s">
        <v>31</v>
      </c>
      <c r="E25" s="16" t="s">
        <v>37</v>
      </c>
      <c r="F25" s="17" t="s">
        <v>41</v>
      </c>
      <c r="G25" s="2"/>
      <c r="H25" s="2"/>
      <c r="I25" s="2"/>
      <c r="J25" s="2"/>
      <c r="K25" s="2"/>
      <c r="L25" s="2"/>
      <c r="M25" s="2"/>
    </row>
    <row r="26" spans="1:13" ht="139.5" customHeight="1" x14ac:dyDescent="0.25">
      <c r="A26" s="2"/>
      <c r="B26" s="14" t="s">
        <v>29</v>
      </c>
      <c r="C26" s="17" t="s">
        <v>34</v>
      </c>
      <c r="D26" s="14" t="s">
        <v>31</v>
      </c>
      <c r="E26" s="16" t="s">
        <v>38</v>
      </c>
      <c r="F26" s="17" t="s">
        <v>41</v>
      </c>
      <c r="G26" s="2"/>
      <c r="H26" s="2"/>
      <c r="I26" s="2"/>
      <c r="J26" s="2"/>
      <c r="K26" s="2"/>
      <c r="L26" s="2"/>
      <c r="M26" s="2"/>
    </row>
    <row r="27" spans="1:13" ht="76.5" customHeight="1" x14ac:dyDescent="0.25">
      <c r="A27" s="2"/>
      <c r="B27" s="14" t="s">
        <v>9</v>
      </c>
      <c r="C27" s="17" t="s">
        <v>35</v>
      </c>
      <c r="D27" s="14" t="s">
        <v>30</v>
      </c>
      <c r="E27" s="16" t="s">
        <v>39</v>
      </c>
      <c r="F27" s="17" t="s">
        <v>41</v>
      </c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C28" s="2"/>
      <c r="D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/>
      <c r="D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F30" s="2"/>
      <c r="G30" s="2"/>
      <c r="H30" s="2"/>
      <c r="I30" s="2"/>
      <c r="J30" s="2"/>
      <c r="K30" s="2"/>
      <c r="L30" s="2"/>
      <c r="M3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MONSALVE GARCIA</dc:creator>
  <cp:lastModifiedBy>CAMILO ANDRES MONSALVE GARCIA</cp:lastModifiedBy>
  <dcterms:created xsi:type="dcterms:W3CDTF">2026-02-25T18:36:27Z</dcterms:created>
  <dcterms:modified xsi:type="dcterms:W3CDTF">2026-03-18T04:46:32Z</dcterms:modified>
</cp:coreProperties>
</file>